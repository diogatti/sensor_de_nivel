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micro\"/>
    </mc:Choice>
  </mc:AlternateContent>
  <xr:revisionPtr revIDLastSave="0" documentId="8_{21447A78-E9C3-4CB4-9847-74FD2D74B75C}" xr6:coauthVersionLast="47" xr6:coauthVersionMax="47" xr10:uidLastSave="{00000000-0000-0000-0000-000000000000}"/>
  <bookViews>
    <workbookView xWindow="-120" yWindow="-120" windowWidth="29040" windowHeight="15840" activeTab="2" xr2:uid="{C0DA076D-EBF2-49DB-898C-C18CCD167000}"/>
  </bookViews>
  <sheets>
    <sheet name="100ML" sheetId="1" r:id="rId1"/>
    <sheet name="200ML" sheetId="2" r:id="rId2"/>
    <sheet name="COMPARATIV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D2" i="3"/>
  <c r="E2" i="3"/>
  <c r="C2" i="3"/>
  <c r="B2" i="3"/>
  <c r="G12" i="2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F27" i="2"/>
  <c r="F12" i="2"/>
  <c r="F13" i="2"/>
  <c r="F14" i="2"/>
  <c r="F15" i="2"/>
  <c r="F16" i="2"/>
  <c r="F17" i="2"/>
  <c r="F18" i="2" s="1"/>
  <c r="F19" i="2" s="1"/>
  <c r="F20" i="2" s="1"/>
  <c r="F21" i="2" s="1"/>
  <c r="F22" i="2" s="1"/>
  <c r="F23" i="2" s="1"/>
  <c r="F24" i="2" s="1"/>
  <c r="F25" i="2" s="1"/>
  <c r="F26" i="2" s="1"/>
  <c r="F28" i="2" s="1"/>
  <c r="G11" i="2"/>
  <c r="F11" i="2"/>
</calcChain>
</file>

<file path=xl/sharedStrings.xml><?xml version="1.0" encoding="utf-8"?>
<sst xmlns="http://schemas.openxmlformats.org/spreadsheetml/2006/main" count="10" uniqueCount="7">
  <si>
    <t>BARRA</t>
  </si>
  <si>
    <t>COBRE</t>
  </si>
  <si>
    <t>SOLDA</t>
  </si>
  <si>
    <t>BARRA MAX</t>
  </si>
  <si>
    <t>BARRA MIN</t>
  </si>
  <si>
    <t>SOLDA MAX</t>
  </si>
  <si>
    <t>SOLDA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</si>
</sst>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SOLDA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21299037620297462"/>
                  <c:y val="-1.73217410323709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'200ML'!$I$5:$I$26</c:f>
              <c:numCache>
                <c:formatCode>General</c:formatCode>
                <c:ptCount val="22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</c:numCache>
            </c:numRef>
          </c:xVal>
          <c:yVal>
            <c:numRef>
              <c:f>'200ML'!$J$5:$J$26</c:f>
              <c:numCache>
                <c:formatCode>General</c:formatCode>
                <c:ptCount val="22"/>
                <c:pt idx="0">
                  <c:v>0.54396</c:v>
                </c:pt>
                <c:pt idx="1">
                  <c:v>0.80908000000000002</c:v>
                </c:pt>
                <c:pt idx="2">
                  <c:v>1.0484599999999999</c:v>
                </c:pt>
                <c:pt idx="3">
                  <c:v>1.24098</c:v>
                </c:pt>
                <c:pt idx="4">
                  <c:v>1.4094</c:v>
                </c:pt>
                <c:pt idx="5">
                  <c:v>1.6025799999999999</c:v>
                </c:pt>
                <c:pt idx="6">
                  <c:v>1.7495799999999999</c:v>
                </c:pt>
                <c:pt idx="7">
                  <c:v>1.9105700000000001</c:v>
                </c:pt>
                <c:pt idx="8">
                  <c:v>2.0177499999999999</c:v>
                </c:pt>
                <c:pt idx="9">
                  <c:v>2.1564800000000002</c:v>
                </c:pt>
                <c:pt idx="10">
                  <c:v>2.26336</c:v>
                </c:pt>
                <c:pt idx="11">
                  <c:v>2.3517399999999999</c:v>
                </c:pt>
                <c:pt idx="12">
                  <c:v>2.4428000000000001</c:v>
                </c:pt>
                <c:pt idx="13">
                  <c:v>2.54088</c:v>
                </c:pt>
                <c:pt idx="14">
                  <c:v>2.5989</c:v>
                </c:pt>
                <c:pt idx="15">
                  <c:v>2.6640999999999999</c:v>
                </c:pt>
                <c:pt idx="16">
                  <c:v>2.7302599999999999</c:v>
                </c:pt>
                <c:pt idx="17">
                  <c:v>2.8043999999999998</c:v>
                </c:pt>
                <c:pt idx="18">
                  <c:v>2.8435999999999999</c:v>
                </c:pt>
                <c:pt idx="19">
                  <c:v>2.9180000000000001</c:v>
                </c:pt>
                <c:pt idx="20">
                  <c:v>2.9470800000000001</c:v>
                </c:pt>
                <c:pt idx="21">
                  <c:v>3.00183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D5-40A5-9B33-D12C1EC7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21039"/>
        <c:axId val="1823630639"/>
      </c:scatterChart>
      <c:valAx>
        <c:axId val="182362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30639"/>
        <c:crosses val="autoZero"/>
        <c:crossBetween val="midCat"/>
      </c:valAx>
      <c:valAx>
        <c:axId val="18236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INOX</a:t>
            </a:r>
            <a:r>
              <a:rPr lang="pt-BR" baseline="0"/>
              <a:t> MAX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16299037620297463"/>
                  <c:y val="5.3703703703703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'200ML'!$A$5:$A$26</c:f>
              <c:numCache>
                <c:formatCode>General</c:formatCode>
                <c:ptCount val="22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</c:numCache>
            </c:numRef>
          </c:xVal>
          <c:yVal>
            <c:numRef>
              <c:f>'200ML'!$C$5:$C$26</c:f>
              <c:numCache>
                <c:formatCode>General</c:formatCode>
                <c:ptCount val="22"/>
                <c:pt idx="0">
                  <c:v>1.4271</c:v>
                </c:pt>
                <c:pt idx="1">
                  <c:v>1.46183</c:v>
                </c:pt>
                <c:pt idx="2">
                  <c:v>1.7400599999999999</c:v>
                </c:pt>
                <c:pt idx="3">
                  <c:v>1.90344</c:v>
                </c:pt>
                <c:pt idx="4">
                  <c:v>2.0621999999999998</c:v>
                </c:pt>
                <c:pt idx="5">
                  <c:v>2.1645400000000001</c:v>
                </c:pt>
                <c:pt idx="6">
                  <c:v>2.2628599999999999</c:v>
                </c:pt>
                <c:pt idx="7">
                  <c:v>2.3370000000000002</c:v>
                </c:pt>
                <c:pt idx="8">
                  <c:v>2.4504999999999999</c:v>
                </c:pt>
                <c:pt idx="9">
                  <c:v>2.4868899999999998</c:v>
                </c:pt>
                <c:pt idx="10">
                  <c:v>2.5964800000000001</c:v>
                </c:pt>
                <c:pt idx="11">
                  <c:v>2.6408100000000001</c:v>
                </c:pt>
                <c:pt idx="12">
                  <c:v>2.7342900000000001</c:v>
                </c:pt>
                <c:pt idx="13">
                  <c:v>2.75604</c:v>
                </c:pt>
                <c:pt idx="14">
                  <c:v>2.8299300000000001</c:v>
                </c:pt>
                <c:pt idx="15">
                  <c:v>2.84958</c:v>
                </c:pt>
                <c:pt idx="16">
                  <c:v>2.8857900000000001</c:v>
                </c:pt>
                <c:pt idx="17">
                  <c:v>2.9009999999999998</c:v>
                </c:pt>
                <c:pt idx="18">
                  <c:v>2.9623400000000002</c:v>
                </c:pt>
                <c:pt idx="19">
                  <c:v>2.9929700000000001</c:v>
                </c:pt>
                <c:pt idx="20">
                  <c:v>3.0422099999999999</c:v>
                </c:pt>
                <c:pt idx="21">
                  <c:v>3.0476999999999999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E0-4BF4-9711-2B248C00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13359"/>
        <c:axId val="1823625839"/>
      </c:scatterChart>
      <c:valAx>
        <c:axId val="182361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25839"/>
        <c:crosses val="autoZero"/>
        <c:crossBetween val="midCat"/>
      </c:valAx>
      <c:valAx>
        <c:axId val="182362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1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INOX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1576815398075242"/>
                  <c:y val="4.15923009623797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'200ML'!$A$5:$A$26</c:f>
              <c:numCache>
                <c:formatCode>General</c:formatCode>
                <c:ptCount val="22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</c:numCache>
            </c:numRef>
          </c:xVal>
          <c:yVal>
            <c:numRef>
              <c:f>'200ML'!$B$5:$B$26</c:f>
              <c:numCache>
                <c:formatCode>General</c:formatCode>
                <c:ptCount val="22"/>
                <c:pt idx="0">
                  <c:v>0.96509</c:v>
                </c:pt>
                <c:pt idx="1">
                  <c:v>1.35646</c:v>
                </c:pt>
                <c:pt idx="2">
                  <c:v>1.51179</c:v>
                </c:pt>
                <c:pt idx="3">
                  <c:v>1.80721</c:v>
                </c:pt>
                <c:pt idx="4">
                  <c:v>1.7964500000000001</c:v>
                </c:pt>
                <c:pt idx="5">
                  <c:v>2.0912199999999999</c:v>
                </c:pt>
                <c:pt idx="6">
                  <c:v>2.1677</c:v>
                </c:pt>
                <c:pt idx="7">
                  <c:v>2.2660800000000001</c:v>
                </c:pt>
                <c:pt idx="8">
                  <c:v>2.0948600000000002</c:v>
                </c:pt>
                <c:pt idx="9">
                  <c:v>2.4064899999999998</c:v>
                </c:pt>
                <c:pt idx="10">
                  <c:v>2.4958</c:v>
                </c:pt>
                <c:pt idx="11">
                  <c:v>2.5667</c:v>
                </c:pt>
                <c:pt idx="12">
                  <c:v>2.39018</c:v>
                </c:pt>
                <c:pt idx="13">
                  <c:v>2.6819000000000002</c:v>
                </c:pt>
                <c:pt idx="14">
                  <c:v>2.7015699999999998</c:v>
                </c:pt>
                <c:pt idx="15">
                  <c:v>2.7376999999999998</c:v>
                </c:pt>
                <c:pt idx="16">
                  <c:v>2.5594100000000002</c:v>
                </c:pt>
                <c:pt idx="17">
                  <c:v>2.8387500000000001</c:v>
                </c:pt>
                <c:pt idx="18">
                  <c:v>2.7987500000000001</c:v>
                </c:pt>
                <c:pt idx="19">
                  <c:v>2.8874</c:v>
                </c:pt>
                <c:pt idx="20">
                  <c:v>2.8864000000000001</c:v>
                </c:pt>
                <c:pt idx="21">
                  <c:v>2.9678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A-44A0-B36C-B8D3966B1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34959"/>
        <c:axId val="1823628239"/>
      </c:scatterChart>
      <c:valAx>
        <c:axId val="182363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28239"/>
        <c:crosses val="autoZero"/>
        <c:crossBetween val="midCat"/>
      </c:valAx>
      <c:valAx>
        <c:axId val="18236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3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SOLDA</a:t>
            </a:r>
            <a:r>
              <a:rPr lang="pt-BR" baseline="0"/>
              <a:t>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12699037620297457"/>
                  <c:y val="-8.03587051618547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'200ML'!$I$5:$I$26</c:f>
              <c:numCache>
                <c:formatCode>General</c:formatCode>
                <c:ptCount val="22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</c:numCache>
            </c:numRef>
          </c:xVal>
          <c:yVal>
            <c:numRef>
              <c:f>'200ML'!$K$5:$K$26</c:f>
              <c:numCache>
                <c:formatCode>General</c:formatCode>
                <c:ptCount val="22"/>
                <c:pt idx="0" formatCode="0.00000">
                  <c:v>0.51349999999999996</c:v>
                </c:pt>
                <c:pt idx="1">
                  <c:v>0.83004</c:v>
                </c:pt>
                <c:pt idx="2">
                  <c:v>1.2418</c:v>
                </c:pt>
                <c:pt idx="3">
                  <c:v>1.3126100000000001</c:v>
                </c:pt>
                <c:pt idx="4">
                  <c:v>1.4971000000000001</c:v>
                </c:pt>
                <c:pt idx="5">
                  <c:v>1.6797</c:v>
                </c:pt>
                <c:pt idx="6">
                  <c:v>1.8305199999999999</c:v>
                </c:pt>
                <c:pt idx="7">
                  <c:v>1.94293</c:v>
                </c:pt>
                <c:pt idx="8">
                  <c:v>2.05172</c:v>
                </c:pt>
                <c:pt idx="9">
                  <c:v>2.25143</c:v>
                </c:pt>
                <c:pt idx="10">
                  <c:v>2.3277299999999999</c:v>
                </c:pt>
                <c:pt idx="11">
                  <c:v>2.4675500000000001</c:v>
                </c:pt>
                <c:pt idx="12">
                  <c:v>2.51186</c:v>
                </c:pt>
                <c:pt idx="13">
                  <c:v>2.6690100000000001</c:v>
                </c:pt>
                <c:pt idx="14">
                  <c:v>2.6915800000000001</c:v>
                </c:pt>
                <c:pt idx="15">
                  <c:v>2.8071999999999999</c:v>
                </c:pt>
                <c:pt idx="16">
                  <c:v>2.8608799999999999</c:v>
                </c:pt>
                <c:pt idx="17">
                  <c:v>2.94462</c:v>
                </c:pt>
                <c:pt idx="18">
                  <c:v>2.919</c:v>
                </c:pt>
                <c:pt idx="19">
                  <c:v>2.9615399999999998</c:v>
                </c:pt>
                <c:pt idx="20">
                  <c:v>3.0066700000000002</c:v>
                </c:pt>
                <c:pt idx="21">
                  <c:v>2.8007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0F-4B71-A8B9-B6FAB26B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27279"/>
        <c:axId val="1823614319"/>
      </c:scatterChart>
      <c:valAx>
        <c:axId val="182362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14319"/>
        <c:crosses val="autoZero"/>
        <c:crossBetween val="midCat"/>
      </c:valAx>
      <c:valAx>
        <c:axId val="18236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2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 do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COMPARATIVO!$B$1</c:f>
              <c:strCache>
                <c:ptCount val="1"/>
                <c:pt idx="0">
                  <c:v>BARRA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COMPARATIVO!$A$2:$A$27</c:f>
              <c:numCache>
                <c:formatCode>General</c:formatCode>
                <c:ptCount val="26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  <c:pt idx="25">
                  <c:v>5200</c:v>
                </c:pt>
              </c:numCache>
            </c:numRef>
          </c:xVal>
          <c:yVal>
            <c:numRef>
              <c:f>COMPARATIVO!$B$2:$B$27</c:f>
              <c:numCache>
                <c:formatCode>General</c:formatCode>
                <c:ptCount val="26"/>
                <c:pt idx="0">
                  <c:v>8.2662026348748086E-2</c:v>
                </c:pt>
                <c:pt idx="1">
                  <c:v>0.73269545227786548</c:v>
                </c:pt>
                <c:pt idx="2">
                  <c:v>1.1129406306617016</c:v>
                </c:pt>
                <c:pt idx="3">
                  <c:v>1.382728878206982</c:v>
                </c:pt>
                <c:pt idx="4">
                  <c:v>1.5919929006294478</c:v>
                </c:pt>
                <c:pt idx="5">
                  <c:v>1.762974056590819</c:v>
                </c:pt>
                <c:pt idx="6">
                  <c:v>1.9075365641328217</c:v>
                </c:pt>
                <c:pt idx="7">
                  <c:v>2.0327623041360985</c:v>
                </c:pt>
                <c:pt idx="8">
                  <c:v>2.1432192349746551</c:v>
                </c:pt>
                <c:pt idx="9">
                  <c:v>2.2420263265585643</c:v>
                </c:pt>
                <c:pt idx="10">
                  <c:v>2.3314082131790599</c:v>
                </c:pt>
                <c:pt idx="11">
                  <c:v>2.4130074825199355</c:v>
                </c:pt>
                <c:pt idx="12">
                  <c:v>2.4880715337761776</c:v>
                </c:pt>
                <c:pt idx="13">
                  <c:v>2.5575699900619382</c:v>
                </c:pt>
                <c:pt idx="14">
                  <c:v>2.6222715049424004</c:v>
                </c:pt>
                <c:pt idx="15">
                  <c:v>2.6827957300652159</c:v>
                </c:pt>
                <c:pt idx="16">
                  <c:v>2.7396495004046679</c:v>
                </c:pt>
                <c:pt idx="17">
                  <c:v>2.7932526609037716</c:v>
                </c:pt>
                <c:pt idx="18">
                  <c:v>2.8439569010110368</c:v>
                </c:pt>
                <c:pt idx="19">
                  <c:v>2.8920597524876817</c:v>
                </c:pt>
                <c:pt idx="20">
                  <c:v>2.9378151684457752</c:v>
                </c:pt>
                <c:pt idx="21">
                  <c:v>2.9814416391081782</c:v>
                </c:pt>
                <c:pt idx="22">
                  <c:v>3.0231285020471059</c:v>
                </c:pt>
                <c:pt idx="23">
                  <c:v>3.063040908449052</c:v>
                </c:pt>
                <c:pt idx="24">
                  <c:v>3.1013237749101483</c:v>
                </c:pt>
                <c:pt idx="25">
                  <c:v>3.1381049597052941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9-417A-9EB4-0CFEC3A88303}"/>
            </c:ext>
          </c:extLst>
        </c:ser>
        <c:ser>
          <c:idx val="1"/>
          <c:order val="1"/>
          <c:tx>
            <c:strRef>
              <c:f>COMPARATIVO!$C$1</c:f>
              <c:strCache>
                <c:ptCount val="1"/>
                <c:pt idx="0">
                  <c:v>BARRA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COMPARATIVO!$A$2:$A$27</c:f>
              <c:numCache>
                <c:formatCode>General</c:formatCode>
                <c:ptCount val="26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  <c:pt idx="25">
                  <c:v>5200</c:v>
                </c:pt>
              </c:numCache>
            </c:numRef>
          </c:xVal>
          <c:yVal>
            <c:numRef>
              <c:f>COMPARATIVO!$C$2:$C$27</c:f>
              <c:numCache>
                <c:formatCode>General</c:formatCode>
                <c:ptCount val="26"/>
                <c:pt idx="0">
                  <c:v>-0.25427340230605644</c:v>
                </c:pt>
                <c:pt idx="1">
                  <c:v>0.44330992020947235</c:v>
                </c:pt>
                <c:pt idx="2">
                  <c:v>0.85137000500952897</c:v>
                </c:pt>
                <c:pt idx="3">
                  <c:v>1.1408932427250011</c:v>
                </c:pt>
                <c:pt idx="4">
                  <c:v>1.3654649127676226</c:v>
                </c:pt>
                <c:pt idx="5">
                  <c:v>1.5489533275250587</c:v>
                </c:pt>
                <c:pt idx="6">
                  <c:v>1.7040905717032109</c:v>
                </c:pt>
                <c:pt idx="7">
                  <c:v>1.8384765652405308</c:v>
                </c:pt>
                <c:pt idx="8">
                  <c:v>1.9570134123251153</c:v>
                </c:pt>
                <c:pt idx="9">
                  <c:v>2.0630482352831514</c:v>
                </c:pt>
                <c:pt idx="10">
                  <c:v>2.1589684002382237</c:v>
                </c:pt>
                <c:pt idx="11">
                  <c:v>2.2465366500405874</c:v>
                </c:pt>
                <c:pt idx="12">
                  <c:v>2.3270916310432348</c:v>
                </c:pt>
                <c:pt idx="13">
                  <c:v>2.4016738942187397</c:v>
                </c:pt>
                <c:pt idx="14">
                  <c:v>2.471108320083208</c:v>
                </c:pt>
                <c:pt idx="15">
                  <c:v>2.5360598877560596</c:v>
                </c:pt>
                <c:pt idx="16">
                  <c:v>2.5970725071521192</c:v>
                </c:pt>
                <c:pt idx="17">
                  <c:v>2.6545967348406441</c:v>
                </c:pt>
                <c:pt idx="18">
                  <c:v>2.7090099863270494</c:v>
                </c:pt>
                <c:pt idx="19">
                  <c:v>2.7606315577986811</c:v>
                </c:pt>
                <c:pt idx="20">
                  <c:v>2.8097339790187972</c:v>
                </c:pt>
                <c:pt idx="21">
                  <c:v>2.8565517227537542</c:v>
                </c:pt>
                <c:pt idx="22">
                  <c:v>2.9012879766050412</c:v>
                </c:pt>
                <c:pt idx="23">
                  <c:v>2.9441199725561171</c:v>
                </c:pt>
                <c:pt idx="24">
                  <c:v>2.9852032278413025</c:v>
                </c:pt>
                <c:pt idx="25">
                  <c:v>3.0246749535587627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D9-417A-9EB4-0CFEC3A88303}"/>
            </c:ext>
          </c:extLst>
        </c:ser>
        <c:ser>
          <c:idx val="2"/>
          <c:order val="2"/>
          <c:tx>
            <c:strRef>
              <c:f>COMPARATIVO!$D$1</c:f>
              <c:strCache>
                <c:ptCount val="1"/>
                <c:pt idx="0">
                  <c:v>SOLDA 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COMPARATIVO!$A$2:$A$27</c:f>
              <c:numCache>
                <c:formatCode>General</c:formatCode>
                <c:ptCount val="26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  <c:pt idx="25">
                  <c:v>5200</c:v>
                </c:pt>
              </c:numCache>
            </c:numRef>
          </c:xVal>
          <c:yVal>
            <c:numRef>
              <c:f>COMPARATIVO!$D$2:$D$27</c:f>
              <c:numCache>
                <c:formatCode>General</c:formatCode>
                <c:ptCount val="26"/>
                <c:pt idx="0">
                  <c:v>-1.3403132120071257</c:v>
                </c:pt>
                <c:pt idx="1">
                  <c:v>-0.38328489980800917</c:v>
                </c:pt>
                <c:pt idx="2">
                  <c:v>0.17654077495693343</c:v>
                </c:pt>
                <c:pt idx="3">
                  <c:v>0.57374341239110827</c:v>
                </c:pt>
                <c:pt idx="4">
                  <c:v>0.88183771369063635</c:v>
                </c:pt>
                <c:pt idx="5">
                  <c:v>1.1335690871560509</c:v>
                </c:pt>
                <c:pt idx="6">
                  <c:v>1.3464049307935451</c:v>
                </c:pt>
                <c:pt idx="7">
                  <c:v>1.5307717245902239</c:v>
                </c:pt>
                <c:pt idx="8">
                  <c:v>1.6933947619209935</c:v>
                </c:pt>
                <c:pt idx="9">
                  <c:v>1.8388660258897538</c:v>
                </c:pt>
                <c:pt idx="10">
                  <c:v>1.9704607911455856</c:v>
                </c:pt>
                <c:pt idx="11">
                  <c:v>2.0905973993551665</c:v>
                </c:pt>
                <c:pt idx="12">
                  <c:v>2.2011123658400198</c:v>
                </c:pt>
                <c:pt idx="13">
                  <c:v>2.3034332429926625</c:v>
                </c:pt>
                <c:pt idx="14">
                  <c:v>2.3986917006546946</c:v>
                </c:pt>
                <c:pt idx="15">
                  <c:v>2.4878000367893414</c:v>
                </c:pt>
                <c:pt idx="16">
                  <c:v>2.5715044521312915</c:v>
                </c:pt>
                <c:pt idx="17">
                  <c:v>2.6504230741201091</c:v>
                </c:pt>
                <c:pt idx="18">
                  <c:v>2.7250736865279794</c:v>
                </c:pt>
                <c:pt idx="19">
                  <c:v>2.7958943380888694</c:v>
                </c:pt>
                <c:pt idx="20">
                  <c:v>2.8632589177576051</c:v>
                </c:pt>
                <c:pt idx="21">
                  <c:v>2.927489103344703</c:v>
                </c:pt>
                <c:pt idx="22">
                  <c:v>2.9888636519262519</c:v>
                </c:pt>
                <c:pt idx="23">
                  <c:v>3.047625711554284</c:v>
                </c:pt>
                <c:pt idx="24">
                  <c:v>3.1039886393884011</c:v>
                </c:pt>
                <c:pt idx="25">
                  <c:v>3.1581406780391355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D9-417A-9EB4-0CFEC3A88303}"/>
            </c:ext>
          </c:extLst>
        </c:ser>
        <c:ser>
          <c:idx val="3"/>
          <c:order val="3"/>
          <c:tx>
            <c:strRef>
              <c:f>COMPARATIVO!$E$1</c:f>
              <c:strCache>
                <c:ptCount val="1"/>
                <c:pt idx="0">
                  <c:v>SOLDA 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COMPARATIVO!$A$2:$A$27</c:f>
              <c:numCache>
                <c:formatCode>General</c:formatCode>
                <c:ptCount val="26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  <c:pt idx="25">
                  <c:v>5200</c:v>
                </c:pt>
              </c:numCache>
            </c:numRef>
          </c:xVal>
          <c:yVal>
            <c:numRef>
              <c:f>COMPARATIVO!$E$2:$E$27</c:f>
              <c:numCache>
                <c:formatCode>General</c:formatCode>
                <c:ptCount val="26"/>
                <c:pt idx="0">
                  <c:v>-1.4164375868541015</c:v>
                </c:pt>
                <c:pt idx="1">
                  <c:v>-0.45760709198552796</c:v>
                </c:pt>
                <c:pt idx="2">
                  <c:v>0.10327279206049589</c:v>
                </c:pt>
                <c:pt idx="3">
                  <c:v>0.50122340288304379</c:v>
                </c:pt>
                <c:pt idx="4">
                  <c:v>0.80989787741598995</c:v>
                </c:pt>
                <c:pt idx="5">
                  <c:v>1.0621032869290676</c:v>
                </c:pt>
                <c:pt idx="6">
                  <c:v>1.2753399223341138</c:v>
                </c:pt>
                <c:pt idx="7">
                  <c:v>1.4600538977516155</c:v>
                </c:pt>
                <c:pt idx="8">
                  <c:v>1.6229831709750915</c:v>
                </c:pt>
                <c:pt idx="9">
                  <c:v>1.7687283722845617</c:v>
                </c:pt>
                <c:pt idx="10">
                  <c:v>1.9005709440078853</c:v>
                </c:pt>
                <c:pt idx="11">
                  <c:v>2.0209337817976412</c:v>
                </c:pt>
                <c:pt idx="12">
                  <c:v>2.1316568593224439</c:v>
                </c:pt>
                <c:pt idx="13">
                  <c:v>2.2341704172026873</c:v>
                </c:pt>
                <c:pt idx="14">
                  <c:v>2.3296082563305855</c:v>
                </c:pt>
                <c:pt idx="15">
                  <c:v>2.4188843926201891</c:v>
                </c:pt>
                <c:pt idx="16">
                  <c:v>2.5027464319788635</c:v>
                </c:pt>
                <c:pt idx="17">
                  <c:v>2.5818136658436632</c:v>
                </c:pt>
                <c:pt idx="18">
                  <c:v>2.6566048530268365</c:v>
                </c:pt>
                <c:pt idx="19">
                  <c:v>2.7275588671531352</c:v>
                </c:pt>
                <c:pt idx="20">
                  <c:v>2.7950503012487111</c:v>
                </c:pt>
                <c:pt idx="21">
                  <c:v>2.8594014388764588</c:v>
                </c:pt>
                <c:pt idx="22">
                  <c:v>2.9208915620406923</c:v>
                </c:pt>
                <c:pt idx="23">
                  <c:v>2.9797642766662129</c:v>
                </c:pt>
                <c:pt idx="24">
                  <c:v>3.0362333416860832</c:v>
                </c:pt>
                <c:pt idx="25">
                  <c:v>3.0904873541910156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D9-417A-9EB4-0CFEC3A88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576879"/>
        <c:axId val="1823605679"/>
      </c:scatterChart>
      <c:valAx>
        <c:axId val="182357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05679"/>
        <c:crosses val="autoZero"/>
        <c:crossBetween val="midCat"/>
      </c:valAx>
      <c:valAx>
        <c:axId val="18236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57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651783</xdr:colOff>
      <xdr:row>17</xdr:row>
      <xdr:rowOff>14287</xdr:rowOff>
    </xdr:from>
    <xdr:to>
      <xdr:col>24</xdr:col>
      <xdr:colOff>423183</xdr:colOff>
      <xdr:row>32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2505B9-B931-3FD2-CB9B-9B513D1EB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201385</xdr:colOff>
      <xdr:row>2</xdr:row>
      <xdr:rowOff>124504</xdr:rowOff>
    </xdr:from>
    <xdr:to>
      <xdr:col>17</xdr:col>
      <xdr:colOff>653143</xdr:colOff>
      <xdr:row>17</xdr:row>
      <xdr:rowOff>153079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F2805B-AE3A-065A-2A7D-6130533C0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235403</xdr:colOff>
      <xdr:row>17</xdr:row>
      <xdr:rowOff>52387</xdr:rowOff>
    </xdr:from>
    <xdr:to>
      <xdr:col>18</xdr:col>
      <xdr:colOff>6803</xdr:colOff>
      <xdr:row>32</xdr:row>
      <xdr:rowOff>80963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C089A2A-582C-87ED-8409-7EC2EF398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666750</xdr:colOff>
      <xdr:row>2</xdr:row>
      <xdr:rowOff>23812</xdr:rowOff>
    </xdr:from>
    <xdr:to>
      <xdr:col>24</xdr:col>
      <xdr:colOff>438150</xdr:colOff>
      <xdr:row>17</xdr:row>
      <xdr:rowOff>52387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DB09BC-9EED-297D-22F3-2E772A11D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11</xdr:row>
      <xdr:rowOff>90487</xdr:rowOff>
    </xdr:from>
    <xdr:to>
      <xdr:col>13</xdr:col>
      <xdr:colOff>323850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77BAB6-183B-AAC0-6AAC-97D3E939A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9A09-4687-4D6E-BBDE-C17958EBE7AF}">
  <dimension ref="A1:J56"/>
  <sheetViews>
    <sheetView workbookViewId="0">
      <selection sqref="A1:K1"/>
    </sheetView>
  </sheetViews>
  <sheetFormatPr defaultRowHeight="14.25"/>
  <sheetData>
    <row r="1" spans="1:10">
      <c r="B1" t="s">
        <v>0</v>
      </c>
      <c r="F1" t="s">
        <v>1</v>
      </c>
      <c r="J1" t="s">
        <v>2</v>
      </c>
    </row>
    <row r="2" spans="1:10">
      <c r="A2">
        <v>100</v>
      </c>
      <c r="E2">
        <v>100</v>
      </c>
      <c r="I2">
        <v>100</v>
      </c>
    </row>
    <row r="3" spans="1:10">
      <c r="A3">
        <v>200</v>
      </c>
      <c r="E3">
        <v>200</v>
      </c>
      <c r="I3">
        <v>200</v>
      </c>
    </row>
    <row r="4" spans="1:10">
      <c r="A4">
        <v>300</v>
      </c>
      <c r="E4">
        <v>300</v>
      </c>
      <c r="I4">
        <v>300</v>
      </c>
    </row>
    <row r="5" spans="1:10">
      <c r="A5">
        <v>400</v>
      </c>
      <c r="E5">
        <v>400</v>
      </c>
      <c r="I5">
        <v>400</v>
      </c>
    </row>
    <row r="6" spans="1:10">
      <c r="A6">
        <v>500</v>
      </c>
      <c r="E6">
        <v>500</v>
      </c>
      <c r="I6">
        <v>500</v>
      </c>
    </row>
    <row r="7" spans="1:10">
      <c r="A7">
        <v>600</v>
      </c>
      <c r="E7">
        <v>600</v>
      </c>
      <c r="I7">
        <v>600</v>
      </c>
    </row>
    <row r="8" spans="1:10">
      <c r="A8">
        <v>700</v>
      </c>
      <c r="E8">
        <v>700</v>
      </c>
      <c r="I8">
        <v>700</v>
      </c>
    </row>
    <row r="9" spans="1:10">
      <c r="A9">
        <v>800</v>
      </c>
      <c r="E9">
        <v>800</v>
      </c>
      <c r="I9">
        <v>800</v>
      </c>
    </row>
    <row r="10" spans="1:10">
      <c r="A10">
        <v>900</v>
      </c>
      <c r="E10">
        <v>900</v>
      </c>
      <c r="I10">
        <v>900</v>
      </c>
    </row>
    <row r="11" spans="1:10">
      <c r="A11">
        <v>1000</v>
      </c>
      <c r="E11">
        <v>1000</v>
      </c>
      <c r="I11">
        <v>1000</v>
      </c>
    </row>
    <row r="12" spans="1:10">
      <c r="A12">
        <v>1100</v>
      </c>
      <c r="E12">
        <v>1100</v>
      </c>
      <c r="I12">
        <v>1100</v>
      </c>
    </row>
    <row r="13" spans="1:10">
      <c r="A13">
        <v>1200</v>
      </c>
      <c r="E13">
        <v>1200</v>
      </c>
      <c r="I13">
        <v>1200</v>
      </c>
    </row>
    <row r="14" spans="1:10">
      <c r="A14">
        <v>1300</v>
      </c>
      <c r="E14">
        <v>1300</v>
      </c>
      <c r="I14">
        <v>1300</v>
      </c>
    </row>
    <row r="15" spans="1:10">
      <c r="A15">
        <v>1400</v>
      </c>
      <c r="E15">
        <v>1400</v>
      </c>
      <c r="I15">
        <v>1400</v>
      </c>
    </row>
    <row r="16" spans="1:10">
      <c r="A16">
        <v>1500</v>
      </c>
      <c r="E16">
        <v>1500</v>
      </c>
      <c r="I16">
        <v>1500</v>
      </c>
    </row>
    <row r="17" spans="1:9">
      <c r="A17">
        <v>1600</v>
      </c>
      <c r="E17">
        <v>1600</v>
      </c>
      <c r="I17">
        <v>1600</v>
      </c>
    </row>
    <row r="18" spans="1:9">
      <c r="A18">
        <v>1700</v>
      </c>
      <c r="E18">
        <v>1700</v>
      </c>
      <c r="I18">
        <v>1700</v>
      </c>
    </row>
    <row r="19" spans="1:9">
      <c r="A19">
        <v>1800</v>
      </c>
      <c r="E19">
        <v>1800</v>
      </c>
      <c r="I19">
        <v>1800</v>
      </c>
    </row>
    <row r="20" spans="1:9">
      <c r="A20">
        <v>1900</v>
      </c>
      <c r="E20">
        <v>1900</v>
      </c>
      <c r="I20">
        <v>1900</v>
      </c>
    </row>
    <row r="21" spans="1:9">
      <c r="A21">
        <v>2000</v>
      </c>
      <c r="E21">
        <v>2000</v>
      </c>
      <c r="I21">
        <v>2000</v>
      </c>
    </row>
    <row r="22" spans="1:9">
      <c r="A22">
        <v>2100</v>
      </c>
      <c r="E22">
        <v>2100</v>
      </c>
      <c r="I22">
        <v>2100</v>
      </c>
    </row>
    <row r="23" spans="1:9">
      <c r="A23">
        <v>2200</v>
      </c>
      <c r="E23">
        <v>2200</v>
      </c>
      <c r="I23">
        <v>2200</v>
      </c>
    </row>
    <row r="24" spans="1:9">
      <c r="A24">
        <v>2300</v>
      </c>
      <c r="E24">
        <v>2300</v>
      </c>
      <c r="I24">
        <v>2300</v>
      </c>
    </row>
    <row r="25" spans="1:9">
      <c r="A25">
        <v>2400</v>
      </c>
      <c r="E25">
        <v>2400</v>
      </c>
      <c r="I25">
        <v>2400</v>
      </c>
    </row>
    <row r="26" spans="1:9">
      <c r="A26">
        <v>2500</v>
      </c>
      <c r="E26">
        <v>2500</v>
      </c>
      <c r="I26">
        <v>2500</v>
      </c>
    </row>
    <row r="27" spans="1:9">
      <c r="A27">
        <v>2600</v>
      </c>
      <c r="E27">
        <v>2600</v>
      </c>
      <c r="I27">
        <v>2600</v>
      </c>
    </row>
    <row r="28" spans="1:9">
      <c r="A28">
        <v>2700</v>
      </c>
      <c r="E28">
        <v>2700</v>
      </c>
      <c r="I28">
        <v>2700</v>
      </c>
    </row>
    <row r="29" spans="1:9">
      <c r="A29">
        <v>2800</v>
      </c>
      <c r="E29">
        <v>2800</v>
      </c>
      <c r="I29">
        <v>2800</v>
      </c>
    </row>
    <row r="30" spans="1:9">
      <c r="A30">
        <v>2900</v>
      </c>
      <c r="E30">
        <v>2900</v>
      </c>
      <c r="I30">
        <v>2900</v>
      </c>
    </row>
    <row r="31" spans="1:9">
      <c r="A31">
        <v>3000</v>
      </c>
      <c r="E31">
        <v>3000</v>
      </c>
      <c r="I31">
        <v>3000</v>
      </c>
    </row>
    <row r="32" spans="1:9">
      <c r="A32">
        <v>3100</v>
      </c>
      <c r="E32">
        <v>3100</v>
      </c>
      <c r="I32">
        <v>3100</v>
      </c>
    </row>
    <row r="33" spans="1:9">
      <c r="A33">
        <v>3200</v>
      </c>
      <c r="E33">
        <v>3200</v>
      </c>
      <c r="I33">
        <v>3200</v>
      </c>
    </row>
    <row r="34" spans="1:9">
      <c r="A34">
        <v>3300</v>
      </c>
      <c r="E34">
        <v>3300</v>
      </c>
      <c r="I34">
        <v>3300</v>
      </c>
    </row>
    <row r="35" spans="1:9">
      <c r="A35">
        <v>3400</v>
      </c>
      <c r="E35">
        <v>3400</v>
      </c>
      <c r="I35">
        <v>3400</v>
      </c>
    </row>
    <row r="36" spans="1:9">
      <c r="A36">
        <v>3500</v>
      </c>
      <c r="E36">
        <v>3500</v>
      </c>
      <c r="I36">
        <v>3500</v>
      </c>
    </row>
    <row r="37" spans="1:9">
      <c r="A37">
        <v>3600</v>
      </c>
      <c r="E37">
        <v>3600</v>
      </c>
      <c r="I37">
        <v>3600</v>
      </c>
    </row>
    <row r="38" spans="1:9">
      <c r="A38">
        <v>3700</v>
      </c>
      <c r="E38">
        <v>3700</v>
      </c>
      <c r="I38">
        <v>3700</v>
      </c>
    </row>
    <row r="39" spans="1:9">
      <c r="A39">
        <v>3800</v>
      </c>
      <c r="E39">
        <v>3800</v>
      </c>
      <c r="I39">
        <v>3800</v>
      </c>
    </row>
    <row r="40" spans="1:9">
      <c r="A40">
        <v>3900</v>
      </c>
      <c r="E40">
        <v>3900</v>
      </c>
      <c r="I40">
        <v>3900</v>
      </c>
    </row>
    <row r="41" spans="1:9">
      <c r="A41">
        <v>4000</v>
      </c>
      <c r="E41">
        <v>4000</v>
      </c>
      <c r="I41">
        <v>4000</v>
      </c>
    </row>
    <row r="42" spans="1:9">
      <c r="A42">
        <v>4100</v>
      </c>
      <c r="E42">
        <v>4100</v>
      </c>
      <c r="I42">
        <v>4100</v>
      </c>
    </row>
    <row r="43" spans="1:9">
      <c r="A43">
        <v>4200</v>
      </c>
      <c r="E43">
        <v>4200</v>
      </c>
      <c r="I43">
        <v>4200</v>
      </c>
    </row>
    <row r="44" spans="1:9">
      <c r="A44">
        <v>4300</v>
      </c>
      <c r="E44">
        <v>4300</v>
      </c>
      <c r="I44">
        <v>4300</v>
      </c>
    </row>
    <row r="45" spans="1:9">
      <c r="A45">
        <v>4400</v>
      </c>
      <c r="E45">
        <v>4400</v>
      </c>
      <c r="I45">
        <v>4400</v>
      </c>
    </row>
    <row r="46" spans="1:9">
      <c r="A46">
        <v>4500</v>
      </c>
      <c r="E46">
        <v>4500</v>
      </c>
      <c r="I46">
        <v>4500</v>
      </c>
    </row>
    <row r="47" spans="1:9">
      <c r="A47">
        <v>4600</v>
      </c>
      <c r="E47">
        <v>4600</v>
      </c>
      <c r="I47">
        <v>4600</v>
      </c>
    </row>
    <row r="48" spans="1:9">
      <c r="A48">
        <v>4700</v>
      </c>
      <c r="E48">
        <v>4700</v>
      </c>
      <c r="I48">
        <v>4700</v>
      </c>
    </row>
    <row r="49" spans="1:9">
      <c r="A49">
        <v>4800</v>
      </c>
      <c r="E49">
        <v>4800</v>
      </c>
      <c r="I49">
        <v>4800</v>
      </c>
    </row>
    <row r="50" spans="1:9">
      <c r="A50">
        <v>4900</v>
      </c>
      <c r="E50">
        <v>4900</v>
      </c>
      <c r="I50">
        <v>4900</v>
      </c>
    </row>
    <row r="51" spans="1:9">
      <c r="A51">
        <v>5000</v>
      </c>
      <c r="E51">
        <v>5000</v>
      </c>
      <c r="I51">
        <v>5000</v>
      </c>
    </row>
    <row r="52" spans="1:9">
      <c r="A52">
        <v>5100</v>
      </c>
      <c r="E52">
        <v>5100</v>
      </c>
      <c r="I52">
        <v>5100</v>
      </c>
    </row>
    <row r="53" spans="1:9">
      <c r="A53">
        <v>5200</v>
      </c>
      <c r="E53">
        <v>5200</v>
      </c>
      <c r="I53">
        <v>5200</v>
      </c>
    </row>
    <row r="54" spans="1:9">
      <c r="A54">
        <v>5300</v>
      </c>
      <c r="E54">
        <v>5300</v>
      </c>
      <c r="I54">
        <v>5300</v>
      </c>
    </row>
    <row r="55" spans="1:9">
      <c r="A55">
        <v>5400</v>
      </c>
      <c r="E55">
        <v>5400</v>
      </c>
      <c r="I55">
        <v>5400</v>
      </c>
    </row>
    <row r="56" spans="1:9">
      <c r="A56">
        <v>5500</v>
      </c>
      <c r="E56">
        <v>5500</v>
      </c>
      <c r="I56">
        <v>5500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D64E-D8A4-4ACD-B1AC-ABDBE48D36CF}">
  <dimension ref="A1:K28"/>
  <sheetViews>
    <sheetView topLeftCell="C1" zoomScaleNormal="100" workbookViewId="0">
      <selection activeCell="R1" sqref="R1"/>
    </sheetView>
  </sheetViews>
  <sheetFormatPr defaultRowHeight="14.25"/>
  <sheetData>
    <row r="1" spans="1:11">
      <c r="B1" t="s">
        <v>0</v>
      </c>
      <c r="F1" t="s">
        <v>1</v>
      </c>
      <c r="J1" t="s">
        <v>2</v>
      </c>
    </row>
    <row r="2" spans="1:11">
      <c r="A2">
        <v>200</v>
      </c>
      <c r="B2">
        <v>0</v>
      </c>
      <c r="E2">
        <v>200</v>
      </c>
      <c r="F2">
        <v>0</v>
      </c>
      <c r="I2">
        <v>200</v>
      </c>
      <c r="J2">
        <v>0</v>
      </c>
    </row>
    <row r="3" spans="1:11">
      <c r="A3">
        <v>400</v>
      </c>
      <c r="B3">
        <v>0</v>
      </c>
      <c r="E3">
        <v>400</v>
      </c>
      <c r="F3">
        <v>0</v>
      </c>
      <c r="I3">
        <v>400</v>
      </c>
      <c r="J3">
        <v>0</v>
      </c>
    </row>
    <row r="4" spans="1:11">
      <c r="A4">
        <v>600</v>
      </c>
      <c r="B4">
        <v>0</v>
      </c>
      <c r="E4">
        <v>600</v>
      </c>
      <c r="F4">
        <v>0</v>
      </c>
      <c r="I4">
        <v>600</v>
      </c>
      <c r="J4">
        <v>0</v>
      </c>
    </row>
    <row r="5" spans="1:11">
      <c r="A5">
        <v>800</v>
      </c>
      <c r="B5">
        <v>0.96509</v>
      </c>
      <c r="C5">
        <v>1.4271</v>
      </c>
      <c r="E5">
        <v>800</v>
      </c>
      <c r="F5">
        <v>1.934E-2</v>
      </c>
      <c r="G5">
        <v>2.095E-2</v>
      </c>
      <c r="I5">
        <v>800</v>
      </c>
      <c r="J5">
        <v>0.54396</v>
      </c>
      <c r="K5" s="1">
        <v>0.51349999999999996</v>
      </c>
    </row>
    <row r="6" spans="1:11">
      <c r="A6">
        <v>1000</v>
      </c>
      <c r="B6">
        <v>1.35646</v>
      </c>
      <c r="C6">
        <v>1.46183</v>
      </c>
      <c r="E6">
        <v>1000</v>
      </c>
      <c r="F6">
        <v>1.7600000000000001E-2</v>
      </c>
      <c r="G6">
        <v>2.256E-2</v>
      </c>
      <c r="I6">
        <v>1000</v>
      </c>
      <c r="J6">
        <v>0.80908000000000002</v>
      </c>
      <c r="K6">
        <v>0.83004</v>
      </c>
    </row>
    <row r="7" spans="1:11">
      <c r="A7">
        <v>1200</v>
      </c>
      <c r="B7">
        <v>1.51179</v>
      </c>
      <c r="C7">
        <v>1.7400599999999999</v>
      </c>
      <c r="E7">
        <v>1200</v>
      </c>
      <c r="F7">
        <v>2.0049999999999998E-2</v>
      </c>
      <c r="G7">
        <v>2.3359999999999999E-2</v>
      </c>
      <c r="I7">
        <v>1200</v>
      </c>
      <c r="J7">
        <v>1.0484599999999999</v>
      </c>
      <c r="K7">
        <v>1.2418</v>
      </c>
    </row>
    <row r="8" spans="1:11">
      <c r="A8">
        <v>1400</v>
      </c>
      <c r="B8">
        <v>1.80721</v>
      </c>
      <c r="C8">
        <v>1.90344</v>
      </c>
      <c r="E8">
        <v>1400</v>
      </c>
      <c r="F8">
        <v>2.095E-2</v>
      </c>
      <c r="G8">
        <v>0.21959999999999999</v>
      </c>
      <c r="I8">
        <v>1400</v>
      </c>
      <c r="J8">
        <v>1.24098</v>
      </c>
      <c r="K8">
        <v>1.3126100000000001</v>
      </c>
    </row>
    <row r="9" spans="1:11">
      <c r="A9">
        <v>1600</v>
      </c>
      <c r="B9">
        <v>1.7964500000000001</v>
      </c>
      <c r="C9">
        <v>2.0621999999999998</v>
      </c>
      <c r="E9">
        <v>1600</v>
      </c>
      <c r="F9">
        <v>2.095E-2</v>
      </c>
      <c r="G9">
        <v>2.256E-2</v>
      </c>
      <c r="I9">
        <v>1600</v>
      </c>
      <c r="J9">
        <v>1.4094</v>
      </c>
      <c r="K9">
        <v>1.4971000000000001</v>
      </c>
    </row>
    <row r="10" spans="1:11">
      <c r="A10">
        <v>1800</v>
      </c>
      <c r="B10">
        <v>2.0912199999999999</v>
      </c>
      <c r="C10">
        <v>2.1645400000000001</v>
      </c>
      <c r="E10">
        <v>1800</v>
      </c>
      <c r="F10">
        <v>2.095E-2</v>
      </c>
      <c r="G10">
        <v>2.1760000000000002E-2</v>
      </c>
      <c r="I10">
        <v>1800</v>
      </c>
      <c r="J10">
        <v>1.6025799999999999</v>
      </c>
      <c r="K10">
        <v>1.6797</v>
      </c>
    </row>
    <row r="11" spans="1:11">
      <c r="A11">
        <v>2000</v>
      </c>
      <c r="B11">
        <v>2.1677</v>
      </c>
      <c r="C11">
        <v>2.2628599999999999</v>
      </c>
      <c r="E11">
        <v>2000</v>
      </c>
      <c r="F11">
        <f>F10</f>
        <v>2.095E-2</v>
      </c>
      <c r="G11">
        <f>G10</f>
        <v>2.1760000000000002E-2</v>
      </c>
      <c r="I11">
        <v>2000</v>
      </c>
      <c r="J11">
        <v>1.7495799999999999</v>
      </c>
      <c r="K11">
        <v>1.8305199999999999</v>
      </c>
    </row>
    <row r="12" spans="1:11">
      <c r="A12">
        <v>2200</v>
      </c>
      <c r="B12">
        <v>2.2660800000000001</v>
      </c>
      <c r="C12">
        <v>2.3370000000000002</v>
      </c>
      <c r="E12">
        <v>2200</v>
      </c>
      <c r="F12">
        <f t="shared" ref="F12:F27" si="0">F11</f>
        <v>2.095E-2</v>
      </c>
      <c r="G12">
        <f t="shared" ref="G12:G28" si="1">G11</f>
        <v>2.1760000000000002E-2</v>
      </c>
      <c r="I12">
        <v>2200</v>
      </c>
      <c r="J12">
        <v>1.9105700000000001</v>
      </c>
      <c r="K12">
        <v>1.94293</v>
      </c>
    </row>
    <row r="13" spans="1:11">
      <c r="A13">
        <v>2400</v>
      </c>
      <c r="B13">
        <v>2.0948600000000002</v>
      </c>
      <c r="C13">
        <v>2.4504999999999999</v>
      </c>
      <c r="E13">
        <v>2400</v>
      </c>
      <c r="F13">
        <f t="shared" si="0"/>
        <v>2.095E-2</v>
      </c>
      <c r="G13">
        <f t="shared" si="1"/>
        <v>2.1760000000000002E-2</v>
      </c>
      <c r="I13">
        <v>2400</v>
      </c>
      <c r="J13">
        <v>2.0177499999999999</v>
      </c>
      <c r="K13">
        <v>2.05172</v>
      </c>
    </row>
    <row r="14" spans="1:11">
      <c r="A14">
        <v>2600</v>
      </c>
      <c r="B14">
        <v>2.4064899999999998</v>
      </c>
      <c r="C14">
        <v>2.4868899999999998</v>
      </c>
      <c r="E14">
        <v>2600</v>
      </c>
      <c r="F14">
        <f t="shared" si="0"/>
        <v>2.095E-2</v>
      </c>
      <c r="G14">
        <f t="shared" si="1"/>
        <v>2.1760000000000002E-2</v>
      </c>
      <c r="I14">
        <v>2600</v>
      </c>
      <c r="J14">
        <v>2.1564800000000002</v>
      </c>
      <c r="K14">
        <v>2.25143</v>
      </c>
    </row>
    <row r="15" spans="1:11">
      <c r="A15">
        <v>2800</v>
      </c>
      <c r="B15">
        <v>2.4958</v>
      </c>
      <c r="C15">
        <v>2.5964800000000001</v>
      </c>
      <c r="E15">
        <v>2800</v>
      </c>
      <c r="F15">
        <f t="shared" si="0"/>
        <v>2.095E-2</v>
      </c>
      <c r="G15">
        <f t="shared" si="1"/>
        <v>2.1760000000000002E-2</v>
      </c>
      <c r="I15">
        <v>2800</v>
      </c>
      <c r="J15">
        <v>2.26336</v>
      </c>
      <c r="K15">
        <v>2.3277299999999999</v>
      </c>
    </row>
    <row r="16" spans="1:11">
      <c r="A16">
        <v>3000</v>
      </c>
      <c r="B16">
        <v>2.5667</v>
      </c>
      <c r="C16">
        <v>2.6408100000000001</v>
      </c>
      <c r="E16">
        <v>3000</v>
      </c>
      <c r="F16">
        <f t="shared" si="0"/>
        <v>2.095E-2</v>
      </c>
      <c r="G16">
        <f t="shared" si="1"/>
        <v>2.1760000000000002E-2</v>
      </c>
      <c r="I16">
        <v>3000</v>
      </c>
      <c r="J16">
        <v>2.3517399999999999</v>
      </c>
      <c r="K16">
        <v>2.4675500000000001</v>
      </c>
    </row>
    <row r="17" spans="1:11">
      <c r="A17">
        <v>3200</v>
      </c>
      <c r="B17">
        <v>2.39018</v>
      </c>
      <c r="C17">
        <v>2.7342900000000001</v>
      </c>
      <c r="E17">
        <v>3200</v>
      </c>
      <c r="F17">
        <f t="shared" si="0"/>
        <v>2.095E-2</v>
      </c>
      <c r="G17">
        <f t="shared" si="1"/>
        <v>2.1760000000000002E-2</v>
      </c>
      <c r="I17">
        <v>3200</v>
      </c>
      <c r="J17">
        <v>2.4428000000000001</v>
      </c>
      <c r="K17">
        <v>2.51186</v>
      </c>
    </row>
    <row r="18" spans="1:11">
      <c r="A18">
        <v>3400</v>
      </c>
      <c r="B18">
        <v>2.6819000000000002</v>
      </c>
      <c r="C18">
        <v>2.75604</v>
      </c>
      <c r="E18">
        <v>3400</v>
      </c>
      <c r="F18">
        <f t="shared" si="0"/>
        <v>2.095E-2</v>
      </c>
      <c r="G18">
        <f t="shared" si="1"/>
        <v>2.1760000000000002E-2</v>
      </c>
      <c r="I18">
        <v>3400</v>
      </c>
      <c r="J18">
        <v>2.54088</v>
      </c>
      <c r="K18">
        <v>2.6690100000000001</v>
      </c>
    </row>
    <row r="19" spans="1:11">
      <c r="A19">
        <v>3600</v>
      </c>
      <c r="B19">
        <v>2.7015699999999998</v>
      </c>
      <c r="C19">
        <v>2.8299300000000001</v>
      </c>
      <c r="E19">
        <v>3600</v>
      </c>
      <c r="F19">
        <f t="shared" si="0"/>
        <v>2.095E-2</v>
      </c>
      <c r="G19">
        <f t="shared" si="1"/>
        <v>2.1760000000000002E-2</v>
      </c>
      <c r="I19">
        <v>3600</v>
      </c>
      <c r="J19">
        <v>2.5989</v>
      </c>
      <c r="K19">
        <v>2.6915800000000001</v>
      </c>
    </row>
    <row r="20" spans="1:11">
      <c r="A20">
        <v>3800</v>
      </c>
      <c r="B20">
        <v>2.7376999999999998</v>
      </c>
      <c r="C20">
        <v>2.84958</v>
      </c>
      <c r="E20">
        <v>3800</v>
      </c>
      <c r="F20">
        <f t="shared" si="0"/>
        <v>2.095E-2</v>
      </c>
      <c r="G20">
        <f t="shared" si="1"/>
        <v>2.1760000000000002E-2</v>
      </c>
      <c r="I20">
        <v>3800</v>
      </c>
      <c r="J20">
        <v>2.6640999999999999</v>
      </c>
      <c r="K20">
        <v>2.8071999999999999</v>
      </c>
    </row>
    <row r="21" spans="1:11">
      <c r="A21">
        <v>4000</v>
      </c>
      <c r="B21">
        <v>2.5594100000000002</v>
      </c>
      <c r="C21">
        <v>2.8857900000000001</v>
      </c>
      <c r="E21">
        <v>4000</v>
      </c>
      <c r="F21">
        <f t="shared" si="0"/>
        <v>2.095E-2</v>
      </c>
      <c r="G21">
        <f t="shared" si="1"/>
        <v>2.1760000000000002E-2</v>
      </c>
      <c r="I21">
        <v>4000</v>
      </c>
      <c r="J21">
        <v>2.7302599999999999</v>
      </c>
      <c r="K21">
        <v>2.8608799999999999</v>
      </c>
    </row>
    <row r="22" spans="1:11">
      <c r="A22">
        <v>4200</v>
      </c>
      <c r="B22">
        <v>2.8387500000000001</v>
      </c>
      <c r="C22">
        <v>2.9009999999999998</v>
      </c>
      <c r="E22">
        <v>4200</v>
      </c>
      <c r="F22">
        <f t="shared" si="0"/>
        <v>2.095E-2</v>
      </c>
      <c r="G22">
        <f t="shared" si="1"/>
        <v>2.1760000000000002E-2</v>
      </c>
      <c r="I22">
        <v>4200</v>
      </c>
      <c r="J22">
        <v>2.8043999999999998</v>
      </c>
      <c r="K22">
        <v>2.94462</v>
      </c>
    </row>
    <row r="23" spans="1:11">
      <c r="A23">
        <v>4400</v>
      </c>
      <c r="B23">
        <v>2.7987500000000001</v>
      </c>
      <c r="C23">
        <v>2.9623400000000002</v>
      </c>
      <c r="E23">
        <v>4400</v>
      </c>
      <c r="F23">
        <f t="shared" si="0"/>
        <v>2.095E-2</v>
      </c>
      <c r="G23">
        <f t="shared" si="1"/>
        <v>2.1760000000000002E-2</v>
      </c>
      <c r="I23">
        <v>4400</v>
      </c>
      <c r="J23">
        <v>2.8435999999999999</v>
      </c>
      <c r="K23">
        <v>2.919</v>
      </c>
    </row>
    <row r="24" spans="1:11">
      <c r="A24">
        <v>4600</v>
      </c>
      <c r="B24">
        <v>2.8874</v>
      </c>
      <c r="C24">
        <v>2.9929700000000001</v>
      </c>
      <c r="E24">
        <v>4600</v>
      </c>
      <c r="F24">
        <f t="shared" si="0"/>
        <v>2.095E-2</v>
      </c>
      <c r="G24">
        <f t="shared" si="1"/>
        <v>2.1760000000000002E-2</v>
      </c>
      <c r="I24">
        <v>4600</v>
      </c>
      <c r="J24">
        <v>2.9180000000000001</v>
      </c>
      <c r="K24">
        <v>2.9615399999999998</v>
      </c>
    </row>
    <row r="25" spans="1:11">
      <c r="A25">
        <v>4800</v>
      </c>
      <c r="B25">
        <v>2.8864000000000001</v>
      </c>
      <c r="C25">
        <v>3.0422099999999999</v>
      </c>
      <c r="E25">
        <v>4800</v>
      </c>
      <c r="F25">
        <f t="shared" si="0"/>
        <v>2.095E-2</v>
      </c>
      <c r="G25">
        <f t="shared" si="1"/>
        <v>2.1760000000000002E-2</v>
      </c>
      <c r="I25">
        <v>4800</v>
      </c>
      <c r="J25">
        <v>2.9470800000000001</v>
      </c>
      <c r="K25">
        <v>3.0066700000000002</v>
      </c>
    </row>
    <row r="26" spans="1:11">
      <c r="A26">
        <v>5000</v>
      </c>
      <c r="B26">
        <v>2.9678</v>
      </c>
      <c r="C26">
        <v>3.0476999999999999</v>
      </c>
      <c r="E26">
        <v>5000</v>
      </c>
      <c r="F26">
        <f t="shared" si="0"/>
        <v>2.095E-2</v>
      </c>
      <c r="G26">
        <f t="shared" si="1"/>
        <v>2.1760000000000002E-2</v>
      </c>
      <c r="I26">
        <v>5000</v>
      </c>
      <c r="J26">
        <v>3.00183</v>
      </c>
      <c r="K26">
        <v>2.8007</v>
      </c>
    </row>
    <row r="27" spans="1:11">
      <c r="E27">
        <v>5200</v>
      </c>
      <c r="F27">
        <f t="shared" si="0"/>
        <v>2.095E-2</v>
      </c>
      <c r="G27">
        <f t="shared" si="1"/>
        <v>2.1760000000000002E-2</v>
      </c>
    </row>
    <row r="28" spans="1:11">
      <c r="E28">
        <v>5400</v>
      </c>
      <c r="F28">
        <f>F26</f>
        <v>2.095E-2</v>
      </c>
      <c r="G28">
        <f t="shared" si="1"/>
        <v>2.1760000000000002E-2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8E39-45B6-48BB-AB8C-5992AE48F294}">
  <dimension ref="A1:E27"/>
  <sheetViews>
    <sheetView tabSelected="1" workbookViewId="0">
      <selection sqref="A1:E27"/>
    </sheetView>
  </sheetViews>
  <sheetFormatPr defaultRowHeight="15"/>
  <cols>
    <col min="2" max="2" width="11.25" bestFit="1" customWidth="1"/>
    <col min="3" max="3" width="10.625" bestFit="1" customWidth="1"/>
    <col min="4" max="4" width="11.25" bestFit="1" customWidth="1"/>
    <col min="5" max="5" width="10.625" bestFit="1" customWidth="1"/>
  </cols>
  <sheetData>
    <row r="1" spans="1:5">
      <c r="B1" t="s">
        <v>3</v>
      </c>
      <c r="C1" t="s">
        <v>4</v>
      </c>
      <c r="D1" t="s">
        <v>5</v>
      </c>
      <c r="E1" t="s">
        <v>6</v>
      </c>
    </row>
    <row r="2" spans="1:5">
      <c r="A2">
        <v>200</v>
      </c>
      <c r="B2">
        <f>0.9378*LN(A2)-4.8861</f>
        <v>8.2662026348748086E-2</v>
      </c>
      <c r="C2">
        <f>1.0064*LN(A2)-5.5865</f>
        <v>-0.25427340230605644</v>
      </c>
      <c r="D2">
        <f>1.3807*LN(A2)-8.6557</f>
        <v>-1.3403132120071257</v>
      </c>
      <c r="E2">
        <f>1.3833*LN(A2)-8.7456</f>
        <v>-1.4164375868541015</v>
      </c>
    </row>
    <row r="3" spans="1:5">
      <c r="A3">
        <v>400</v>
      </c>
      <c r="B3">
        <f t="shared" ref="B3:B27" si="0">0.9378*LN(A3)-4.8861</f>
        <v>0.73269545227786548</v>
      </c>
      <c r="C3">
        <f t="shared" ref="C3:C27" si="1">1.0064*LN(A3)-5.5865</f>
        <v>0.44330992020947235</v>
      </c>
      <c r="D3">
        <f t="shared" ref="D3:D27" si="2">1.3807*LN(A3)-8.6557</f>
        <v>-0.38328489980800917</v>
      </c>
      <c r="E3">
        <f t="shared" ref="E3:E27" si="3">1.3833*LN(A3)-8.7456</f>
        <v>-0.45760709198552796</v>
      </c>
    </row>
    <row r="4" spans="1:5">
      <c r="A4">
        <v>600</v>
      </c>
      <c r="B4">
        <f t="shared" si="0"/>
        <v>1.1129406306617016</v>
      </c>
      <c r="C4">
        <f t="shared" si="1"/>
        <v>0.85137000500952897</v>
      </c>
      <c r="D4">
        <f t="shared" si="2"/>
        <v>0.17654077495693343</v>
      </c>
      <c r="E4">
        <f t="shared" si="3"/>
        <v>0.10327279206049589</v>
      </c>
    </row>
    <row r="5" spans="1:5">
      <c r="A5">
        <v>800</v>
      </c>
      <c r="B5">
        <f t="shared" si="0"/>
        <v>1.382728878206982</v>
      </c>
      <c r="C5">
        <f t="shared" si="1"/>
        <v>1.1408932427250011</v>
      </c>
      <c r="D5">
        <f t="shared" si="2"/>
        <v>0.57374341239110827</v>
      </c>
      <c r="E5">
        <f t="shared" si="3"/>
        <v>0.50122340288304379</v>
      </c>
    </row>
    <row r="6" spans="1:5">
      <c r="A6">
        <v>1000</v>
      </c>
      <c r="B6">
        <f t="shared" si="0"/>
        <v>1.5919929006294478</v>
      </c>
      <c r="C6">
        <f t="shared" si="1"/>
        <v>1.3654649127676226</v>
      </c>
      <c r="D6">
        <f t="shared" si="2"/>
        <v>0.88183771369063635</v>
      </c>
      <c r="E6">
        <f t="shared" si="3"/>
        <v>0.80989787741598995</v>
      </c>
    </row>
    <row r="7" spans="1:5">
      <c r="A7">
        <v>1200</v>
      </c>
      <c r="B7">
        <f t="shared" si="0"/>
        <v>1.762974056590819</v>
      </c>
      <c r="C7">
        <f t="shared" si="1"/>
        <v>1.5489533275250587</v>
      </c>
      <c r="D7">
        <f t="shared" si="2"/>
        <v>1.1335690871560509</v>
      </c>
      <c r="E7">
        <f t="shared" si="3"/>
        <v>1.0621032869290676</v>
      </c>
    </row>
    <row r="8" spans="1:5">
      <c r="A8">
        <v>1400</v>
      </c>
      <c r="B8">
        <f t="shared" si="0"/>
        <v>1.9075365641328217</v>
      </c>
      <c r="C8">
        <f t="shared" si="1"/>
        <v>1.7040905717032109</v>
      </c>
      <c r="D8">
        <f t="shared" si="2"/>
        <v>1.3464049307935451</v>
      </c>
      <c r="E8">
        <f t="shared" si="3"/>
        <v>1.2753399223341138</v>
      </c>
    </row>
    <row r="9" spans="1:5">
      <c r="A9">
        <v>1600</v>
      </c>
      <c r="B9">
        <f t="shared" si="0"/>
        <v>2.0327623041360985</v>
      </c>
      <c r="C9">
        <f t="shared" si="1"/>
        <v>1.8384765652405308</v>
      </c>
      <c r="D9">
        <f t="shared" si="2"/>
        <v>1.5307717245902239</v>
      </c>
      <c r="E9">
        <f t="shared" si="3"/>
        <v>1.4600538977516155</v>
      </c>
    </row>
    <row r="10" spans="1:5">
      <c r="A10">
        <v>1800</v>
      </c>
      <c r="B10">
        <f t="shared" si="0"/>
        <v>2.1432192349746551</v>
      </c>
      <c r="C10">
        <f t="shared" si="1"/>
        <v>1.9570134123251153</v>
      </c>
      <c r="D10">
        <f t="shared" si="2"/>
        <v>1.6933947619209935</v>
      </c>
      <c r="E10">
        <f t="shared" si="3"/>
        <v>1.6229831709750915</v>
      </c>
    </row>
    <row r="11" spans="1:5">
      <c r="A11">
        <v>2000</v>
      </c>
      <c r="B11">
        <f t="shared" si="0"/>
        <v>2.2420263265585643</v>
      </c>
      <c r="C11">
        <f t="shared" si="1"/>
        <v>2.0630482352831514</v>
      </c>
      <c r="D11">
        <f t="shared" si="2"/>
        <v>1.8388660258897538</v>
      </c>
      <c r="E11">
        <f t="shared" si="3"/>
        <v>1.7687283722845617</v>
      </c>
    </row>
    <row r="12" spans="1:5">
      <c r="A12">
        <v>2200</v>
      </c>
      <c r="B12">
        <f t="shared" si="0"/>
        <v>2.3314082131790599</v>
      </c>
      <c r="C12">
        <f t="shared" si="1"/>
        <v>2.1589684002382237</v>
      </c>
      <c r="D12">
        <f t="shared" si="2"/>
        <v>1.9704607911455856</v>
      </c>
      <c r="E12">
        <f t="shared" si="3"/>
        <v>1.9005709440078853</v>
      </c>
    </row>
    <row r="13" spans="1:5">
      <c r="A13">
        <v>2400</v>
      </c>
      <c r="B13">
        <f t="shared" si="0"/>
        <v>2.4130074825199355</v>
      </c>
      <c r="C13">
        <f t="shared" si="1"/>
        <v>2.2465366500405874</v>
      </c>
      <c r="D13">
        <f t="shared" si="2"/>
        <v>2.0905973993551665</v>
      </c>
      <c r="E13">
        <f t="shared" si="3"/>
        <v>2.0209337817976412</v>
      </c>
    </row>
    <row r="14" spans="1:5">
      <c r="A14">
        <v>2600</v>
      </c>
      <c r="B14">
        <f t="shared" si="0"/>
        <v>2.4880715337761776</v>
      </c>
      <c r="C14">
        <f t="shared" si="1"/>
        <v>2.3270916310432348</v>
      </c>
      <c r="D14">
        <f t="shared" si="2"/>
        <v>2.2011123658400198</v>
      </c>
      <c r="E14">
        <f t="shared" si="3"/>
        <v>2.1316568593224439</v>
      </c>
    </row>
    <row r="15" spans="1:5">
      <c r="A15">
        <v>2800</v>
      </c>
      <c r="B15">
        <f t="shared" si="0"/>
        <v>2.5575699900619382</v>
      </c>
      <c r="C15">
        <f t="shared" si="1"/>
        <v>2.4016738942187397</v>
      </c>
      <c r="D15">
        <f t="shared" si="2"/>
        <v>2.3034332429926625</v>
      </c>
      <c r="E15">
        <f t="shared" si="3"/>
        <v>2.2341704172026873</v>
      </c>
    </row>
    <row r="16" spans="1:5">
      <c r="A16">
        <v>3000</v>
      </c>
      <c r="B16">
        <f t="shared" si="0"/>
        <v>2.6222715049424004</v>
      </c>
      <c r="C16">
        <f t="shared" si="1"/>
        <v>2.471108320083208</v>
      </c>
      <c r="D16">
        <f t="shared" si="2"/>
        <v>2.3986917006546946</v>
      </c>
      <c r="E16">
        <f t="shared" si="3"/>
        <v>2.3296082563305855</v>
      </c>
    </row>
    <row r="17" spans="1:5">
      <c r="A17">
        <v>3200</v>
      </c>
      <c r="B17">
        <f t="shared" si="0"/>
        <v>2.6827957300652159</v>
      </c>
      <c r="C17">
        <f t="shared" si="1"/>
        <v>2.5360598877560596</v>
      </c>
      <c r="D17">
        <f t="shared" si="2"/>
        <v>2.4878000367893414</v>
      </c>
      <c r="E17">
        <f t="shared" si="3"/>
        <v>2.4188843926201891</v>
      </c>
    </row>
    <row r="18" spans="1:5">
      <c r="A18">
        <v>3400</v>
      </c>
      <c r="B18">
        <f t="shared" si="0"/>
        <v>2.7396495004046679</v>
      </c>
      <c r="C18">
        <f t="shared" si="1"/>
        <v>2.5970725071521192</v>
      </c>
      <c r="D18">
        <f t="shared" si="2"/>
        <v>2.5715044521312915</v>
      </c>
      <c r="E18">
        <f t="shared" si="3"/>
        <v>2.5027464319788635</v>
      </c>
    </row>
    <row r="19" spans="1:5">
      <c r="A19">
        <v>3600</v>
      </c>
      <c r="B19">
        <f t="shared" si="0"/>
        <v>2.7932526609037716</v>
      </c>
      <c r="C19">
        <f t="shared" si="1"/>
        <v>2.6545967348406441</v>
      </c>
      <c r="D19">
        <f t="shared" si="2"/>
        <v>2.6504230741201091</v>
      </c>
      <c r="E19">
        <f t="shared" si="3"/>
        <v>2.5818136658436632</v>
      </c>
    </row>
    <row r="20" spans="1:5">
      <c r="A20">
        <v>3800</v>
      </c>
      <c r="B20">
        <f t="shared" si="0"/>
        <v>2.8439569010110368</v>
      </c>
      <c r="C20">
        <f t="shared" si="1"/>
        <v>2.7090099863270494</v>
      </c>
      <c r="D20">
        <f t="shared" si="2"/>
        <v>2.7250736865279794</v>
      </c>
      <c r="E20">
        <f t="shared" si="3"/>
        <v>2.6566048530268365</v>
      </c>
    </row>
    <row r="21" spans="1:5">
      <c r="A21">
        <v>4000</v>
      </c>
      <c r="B21">
        <f t="shared" si="0"/>
        <v>2.8920597524876817</v>
      </c>
      <c r="C21">
        <f t="shared" si="1"/>
        <v>2.7606315577986811</v>
      </c>
      <c r="D21">
        <f t="shared" si="2"/>
        <v>2.7958943380888694</v>
      </c>
      <c r="E21">
        <f t="shared" si="3"/>
        <v>2.7275588671531352</v>
      </c>
    </row>
    <row r="22" spans="1:5">
      <c r="A22">
        <v>4200</v>
      </c>
      <c r="B22">
        <f t="shared" si="0"/>
        <v>2.9378151684457752</v>
      </c>
      <c r="C22">
        <f t="shared" si="1"/>
        <v>2.8097339790187972</v>
      </c>
      <c r="D22">
        <f t="shared" si="2"/>
        <v>2.8632589177576051</v>
      </c>
      <c r="E22">
        <f t="shared" si="3"/>
        <v>2.7950503012487111</v>
      </c>
    </row>
    <row r="23" spans="1:5">
      <c r="A23">
        <v>4400</v>
      </c>
      <c r="B23">
        <f t="shared" si="0"/>
        <v>2.9814416391081782</v>
      </c>
      <c r="C23">
        <f t="shared" si="1"/>
        <v>2.8565517227537542</v>
      </c>
      <c r="D23">
        <f t="shared" si="2"/>
        <v>2.927489103344703</v>
      </c>
      <c r="E23">
        <f t="shared" si="3"/>
        <v>2.8594014388764588</v>
      </c>
    </row>
    <row r="24" spans="1:5">
      <c r="A24">
        <v>4600</v>
      </c>
      <c r="B24">
        <f t="shared" si="0"/>
        <v>3.0231285020471059</v>
      </c>
      <c r="C24">
        <f t="shared" si="1"/>
        <v>2.9012879766050412</v>
      </c>
      <c r="D24">
        <f t="shared" si="2"/>
        <v>2.9888636519262519</v>
      </c>
      <c r="E24">
        <f t="shared" si="3"/>
        <v>2.9208915620406923</v>
      </c>
    </row>
    <row r="25" spans="1:5">
      <c r="A25">
        <v>4800</v>
      </c>
      <c r="B25">
        <f t="shared" si="0"/>
        <v>3.063040908449052</v>
      </c>
      <c r="C25">
        <f t="shared" si="1"/>
        <v>2.9441199725561171</v>
      </c>
      <c r="D25">
        <f t="shared" si="2"/>
        <v>3.047625711554284</v>
      </c>
      <c r="E25">
        <f t="shared" si="3"/>
        <v>2.9797642766662129</v>
      </c>
    </row>
    <row r="26" spans="1:5">
      <c r="A26">
        <v>5000</v>
      </c>
      <c r="B26">
        <f t="shared" si="0"/>
        <v>3.1013237749101483</v>
      </c>
      <c r="C26">
        <f t="shared" si="1"/>
        <v>2.9852032278413025</v>
      </c>
      <c r="D26">
        <f t="shared" si="2"/>
        <v>3.1039886393884011</v>
      </c>
      <c r="E26">
        <f t="shared" si="3"/>
        <v>3.0362333416860832</v>
      </c>
    </row>
    <row r="27" spans="1:5">
      <c r="A27">
        <v>5200</v>
      </c>
      <c r="B27">
        <f t="shared" si="0"/>
        <v>3.1381049597052941</v>
      </c>
      <c r="C27">
        <f t="shared" si="1"/>
        <v>3.0246749535587627</v>
      </c>
      <c r="D27">
        <f t="shared" si="2"/>
        <v>3.1581406780391355</v>
      </c>
      <c r="E27">
        <f t="shared" si="3"/>
        <v>3.0904873541910156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100ML</vt:lpstr>
      <vt:lpstr>200ML</vt:lpstr>
      <vt:lpstr>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EBERT GATTI</dc:creator>
  <cp:lastModifiedBy>DIOGO EBERT GATTI</cp:lastModifiedBy>
  <dcterms:created xsi:type="dcterms:W3CDTF">2026-06-16T20:34:45Z</dcterms:created>
  <dcterms:modified xsi:type="dcterms:W3CDTF">2026-06-16T23:24:04Z</dcterms:modified>
</cp:coreProperties>
</file>